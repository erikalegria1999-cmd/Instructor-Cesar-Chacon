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ASUS\Desktop\Analisis y desarrollo de software\Instructor Cesar Chacon\Trabajos en PSEint\Matematicas Actividad\"/>
    </mc:Choice>
  </mc:AlternateContent>
  <xr:revisionPtr revIDLastSave="0" documentId="13_ncr:1_{8E819991-9F38-4885-A54A-E893E5F4DBD2}" xr6:coauthVersionLast="47" xr6:coauthVersionMax="47" xr10:uidLastSave="{00000000-0000-0000-0000-000000000000}"/>
  <bookViews>
    <workbookView xWindow="3552" yWindow="1884" windowWidth="17280" windowHeight="8880" xr2:uid="{00000000-000D-0000-FFFF-FFFF00000000}"/>
  </bookViews>
  <sheets>
    <sheet name="Masa" sheetId="1" r:id="rId1"/>
    <sheet name="Longitud" sheetId="2" r:id="rId2"/>
    <sheet name="Temperatura" sheetId="3" r:id="rId3"/>
    <sheet name="Bytes" sheetId="4" r:id="rId4"/>
    <sheet name="Tiempo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B13" i="5" l="1"/>
  <c r="B12" i="5"/>
  <c r="B9" i="5"/>
  <c r="B8" i="5"/>
  <c r="B5" i="5"/>
  <c r="B4" i="5"/>
  <c r="B13" i="4"/>
  <c r="B12" i="4"/>
  <c r="B9" i="4"/>
  <c r="B8" i="4"/>
  <c r="B5" i="4"/>
  <c r="B4" i="4"/>
  <c r="B13" i="3"/>
  <c r="B12" i="3"/>
  <c r="B9" i="3"/>
  <c r="B8" i="3"/>
  <c r="B5" i="3"/>
  <c r="B4" i="3"/>
  <c r="B13" i="2"/>
  <c r="B12" i="2"/>
  <c r="B9" i="2"/>
  <c r="B8" i="2"/>
  <c r="B5" i="2"/>
  <c r="B4" i="2"/>
  <c r="B13" i="1"/>
  <c r="B12" i="1"/>
  <c r="B9" i="1"/>
  <c r="B8" i="1"/>
  <c r="B5" i="1"/>
  <c r="B4" i="1"/>
</calcChain>
</file>

<file path=xl/sharedStrings.xml><?xml version="1.0" encoding="utf-8"?>
<sst xmlns="http://schemas.openxmlformats.org/spreadsheetml/2006/main" count="50" uniqueCount="50">
  <si>
    <t>Entrada (gramos):</t>
  </si>
  <si>
    <t>Gramos -&gt; Kilogramos (kg) =</t>
  </si>
  <si>
    <t>Gramos -&gt; Libras (lb) =</t>
  </si>
  <si>
    <t>Entrada (kilogramos):</t>
  </si>
  <si>
    <t>Kilogramos -&gt; Gramos =</t>
  </si>
  <si>
    <t>Kilogramos -&gt; Libras =</t>
  </si>
  <si>
    <t>Entrada (libras):</t>
  </si>
  <si>
    <t>Libras -&gt; Gramos =</t>
  </si>
  <si>
    <t>Libras -&gt; Kilogramos =</t>
  </si>
  <si>
    <t>CONVERSOR DE LONGITUD</t>
  </si>
  <si>
    <t>Entrada (metros):</t>
  </si>
  <si>
    <t>Metros -&gt; Kilómetros =</t>
  </si>
  <si>
    <t>Metros -&gt; Centímetros =</t>
  </si>
  <si>
    <t>Entrada (kilómetros):</t>
  </si>
  <si>
    <t>Kilómetros -&gt; Metros =</t>
  </si>
  <si>
    <t>Kilómetros -&gt; Centímetros =</t>
  </si>
  <si>
    <t>Entrada (centímetros):</t>
  </si>
  <si>
    <t>Centímetros -&gt; Metros =</t>
  </si>
  <si>
    <t>Centímetros -&gt; Kilómetros =</t>
  </si>
  <si>
    <t>CONVERSOR DE TEMPERATURA</t>
  </si>
  <si>
    <t>Entrada (Celsius):</t>
  </si>
  <si>
    <t>Celsius -&gt; Fahrenheit =</t>
  </si>
  <si>
    <t>Celsius -&gt; Kelvin =</t>
  </si>
  <si>
    <t>Entrada (Fahrenheit):</t>
  </si>
  <si>
    <t>Fahrenheit -&gt; Celsius =</t>
  </si>
  <si>
    <t>Fahrenheit -&gt; Kelvin =</t>
  </si>
  <si>
    <t>Entrada (Kelvin):</t>
  </si>
  <si>
    <t>Kelvin -&gt; Celsius =</t>
  </si>
  <si>
    <t>Kelvin -&gt; Fahrenheit =</t>
  </si>
  <si>
    <t>CONVERSOR DE BYTES</t>
  </si>
  <si>
    <t>Entrada (Bytes):</t>
  </si>
  <si>
    <t>Bytes -&gt; Megabytes (MiB) =</t>
  </si>
  <si>
    <t>Bytes -&gt; Gigabytes (GiB) =</t>
  </si>
  <si>
    <t>Entrada (Megabytes):</t>
  </si>
  <si>
    <t>Megabytes -&gt; Bytes =</t>
  </si>
  <si>
    <t>Megabytes -&gt; Gigabytes =</t>
  </si>
  <si>
    <t>Entrada (Gigabytes):</t>
  </si>
  <si>
    <t>Gigabytes -&gt; Bytes =</t>
  </si>
  <si>
    <t>Gigabytes -&gt; Megabytes =</t>
  </si>
  <si>
    <t>CONVERSOR DE TIEMPO</t>
  </si>
  <si>
    <t>Entrada (Segundos):</t>
  </si>
  <si>
    <t>Segundos -&gt; Minutos =</t>
  </si>
  <si>
    <t>Segundos -&gt; Horas =</t>
  </si>
  <si>
    <t>Entrada (Minutos):</t>
  </si>
  <si>
    <t>Minutos -&gt; Segundos =</t>
  </si>
  <si>
    <t>Minutos -&gt; Horas =</t>
  </si>
  <si>
    <t>Entrada (Horas):</t>
  </si>
  <si>
    <t>Horas -&gt; Segundos =</t>
  </si>
  <si>
    <t>Horas -&gt; Minutos =</t>
  </si>
  <si>
    <t>CONVERSOR DE MASA.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</si>
</sst>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2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3"/>
  <sheetViews>
    <sheetView tabSelected="1" workbookViewId="0">
      <selection activeCell="D6" sqref="D6"/>
    </sheetView>
  </sheetViews>
  <sheetFormatPr baseColWidth="10" defaultColWidth="8.88671875" defaultRowHeight="14.4" x14ac:dyDescent="0.3"/>
  <cols>
    <col min="1" max="1" width="41" customWidth="1"/>
    <col min="2" max="2" width="20" customWidth="1"/>
  </cols>
  <sheetData>
    <row r="1" spans="1:2" ht="15.6" x14ac:dyDescent="0.3">
      <c r="A1" s="1" t="s">
        <v>49</v>
      </c>
      <c r="B1" s="2"/>
    </row>
    <row r="2" spans="1:2" x14ac:dyDescent="0.3">
      <c r="A2" s="2"/>
      <c r="B2" s="2"/>
    </row>
    <row r="3" spans="1:2" x14ac:dyDescent="0.3">
      <c r="A3" s="2" t="s">
        <v>0</v>
      </c>
      <c r="B3" s="2">
        <v>0</v>
      </c>
    </row>
    <row r="4" spans="1:2" x14ac:dyDescent="0.3">
      <c r="A4" s="2" t="s">
        <v>1</v>
      </c>
      <c r="B4" s="2">
        <f>B3/1000</f>
        <v>0</v>
      </c>
    </row>
    <row r="5" spans="1:2" x14ac:dyDescent="0.3">
      <c r="A5" s="2" t="s">
        <v>2</v>
      </c>
      <c r="B5" s="2">
        <f>B3/453.59237</f>
        <v>0</v>
      </c>
    </row>
    <row r="6" spans="1:2" x14ac:dyDescent="0.3">
      <c r="A6" s="2"/>
      <c r="B6" s="2"/>
    </row>
    <row r="7" spans="1:2" x14ac:dyDescent="0.3">
      <c r="A7" s="2" t="s">
        <v>3</v>
      </c>
      <c r="B7" s="2">
        <v>0</v>
      </c>
    </row>
    <row r="8" spans="1:2" x14ac:dyDescent="0.3">
      <c r="A8" s="2" t="s">
        <v>4</v>
      </c>
      <c r="B8" s="2">
        <f>B7*1000</f>
        <v>0</v>
      </c>
    </row>
    <row r="9" spans="1:2" x14ac:dyDescent="0.3">
      <c r="A9" s="2" t="s">
        <v>5</v>
      </c>
      <c r="B9" s="2">
        <f>B7*2.20462262185</f>
        <v>0</v>
      </c>
    </row>
    <row r="10" spans="1:2" x14ac:dyDescent="0.3">
      <c r="A10" s="2"/>
      <c r="B10" s="2"/>
    </row>
    <row r="11" spans="1:2" x14ac:dyDescent="0.3">
      <c r="A11" s="2" t="s">
        <v>6</v>
      </c>
      <c r="B11" s="2">
        <v>0</v>
      </c>
    </row>
    <row r="12" spans="1:2" x14ac:dyDescent="0.3">
      <c r="A12" s="2" t="s">
        <v>7</v>
      </c>
      <c r="B12" s="2">
        <f>B11*453.59237</f>
        <v>0</v>
      </c>
    </row>
    <row r="13" spans="1:2" x14ac:dyDescent="0.3">
      <c r="A13" s="2" t="s">
        <v>8</v>
      </c>
      <c r="B13" s="2">
        <f>B11/2.20462262185</f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13"/>
  <sheetViews>
    <sheetView workbookViewId="0">
      <selection activeCell="E13" sqref="E13"/>
    </sheetView>
  </sheetViews>
  <sheetFormatPr baseColWidth="10" defaultColWidth="8.88671875" defaultRowHeight="14.4" x14ac:dyDescent="0.3"/>
  <cols>
    <col min="1" max="1" width="29" customWidth="1"/>
    <col min="2" max="2" width="13" customWidth="1"/>
  </cols>
  <sheetData>
    <row r="1" spans="1:3" x14ac:dyDescent="0.3">
      <c r="A1" s="2" t="s">
        <v>9</v>
      </c>
      <c r="B1" s="2"/>
      <c r="C1" s="2"/>
    </row>
    <row r="2" spans="1:3" x14ac:dyDescent="0.3">
      <c r="A2" s="2"/>
      <c r="B2" s="2"/>
      <c r="C2" s="2"/>
    </row>
    <row r="3" spans="1:3" x14ac:dyDescent="0.3">
      <c r="A3" s="2" t="s">
        <v>10</v>
      </c>
      <c r="B3" s="2">
        <v>0</v>
      </c>
      <c r="C3" s="2"/>
    </row>
    <row r="4" spans="1:3" x14ac:dyDescent="0.3">
      <c r="A4" s="2" t="s">
        <v>11</v>
      </c>
      <c r="B4" s="2">
        <f>B3/1000</f>
        <v>0</v>
      </c>
      <c r="C4" s="2"/>
    </row>
    <row r="5" spans="1:3" x14ac:dyDescent="0.3">
      <c r="A5" s="2" t="s">
        <v>12</v>
      </c>
      <c r="B5" s="2">
        <f>B3*100</f>
        <v>0</v>
      </c>
      <c r="C5" s="2"/>
    </row>
    <row r="6" spans="1:3" x14ac:dyDescent="0.3">
      <c r="A6" s="2"/>
      <c r="B6" s="2"/>
      <c r="C6" s="2"/>
    </row>
    <row r="7" spans="1:3" x14ac:dyDescent="0.3">
      <c r="A7" s="2" t="s">
        <v>13</v>
      </c>
      <c r="B7" s="2">
        <v>0</v>
      </c>
      <c r="C7" s="2"/>
    </row>
    <row r="8" spans="1:3" x14ac:dyDescent="0.3">
      <c r="A8" s="2" t="s">
        <v>14</v>
      </c>
      <c r="B8" s="2">
        <f>B7*1000</f>
        <v>0</v>
      </c>
      <c r="C8" s="2"/>
    </row>
    <row r="9" spans="1:3" x14ac:dyDescent="0.3">
      <c r="A9" s="2" t="s">
        <v>15</v>
      </c>
      <c r="B9" s="2">
        <f>B7*100000</f>
        <v>0</v>
      </c>
      <c r="C9" s="2"/>
    </row>
    <row r="10" spans="1:3" x14ac:dyDescent="0.3">
      <c r="A10" s="2"/>
      <c r="B10" s="2"/>
      <c r="C10" s="2"/>
    </row>
    <row r="11" spans="1:3" x14ac:dyDescent="0.3">
      <c r="A11" s="2" t="s">
        <v>16</v>
      </c>
      <c r="B11" s="2">
        <v>0</v>
      </c>
      <c r="C11" s="2"/>
    </row>
    <row r="12" spans="1:3" x14ac:dyDescent="0.3">
      <c r="A12" s="2" t="s">
        <v>17</v>
      </c>
      <c r="B12" s="2">
        <f>B11/100</f>
        <v>0</v>
      </c>
      <c r="C12" s="2"/>
    </row>
    <row r="13" spans="1:3" x14ac:dyDescent="0.3">
      <c r="A13" s="2" t="s">
        <v>18</v>
      </c>
      <c r="B13" s="2">
        <f>B11/100000</f>
        <v>0</v>
      </c>
      <c r="C13" s="2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13"/>
  <sheetViews>
    <sheetView workbookViewId="0">
      <selection activeCell="B13" sqref="A1:B13"/>
    </sheetView>
  </sheetViews>
  <sheetFormatPr baseColWidth="10" defaultColWidth="8.88671875" defaultRowHeight="14.4" x14ac:dyDescent="0.3"/>
  <cols>
    <col min="1" max="1" width="26" customWidth="1"/>
    <col min="2" max="2" width="22" customWidth="1"/>
  </cols>
  <sheetData>
    <row r="1" spans="1:2" x14ac:dyDescent="0.3">
      <c r="A1" s="2" t="s">
        <v>19</v>
      </c>
      <c r="B1" s="2"/>
    </row>
    <row r="2" spans="1:2" x14ac:dyDescent="0.3">
      <c r="A2" s="2"/>
      <c r="B2" s="2"/>
    </row>
    <row r="3" spans="1:2" x14ac:dyDescent="0.3">
      <c r="A3" s="2" t="s">
        <v>20</v>
      </c>
      <c r="B3" s="2">
        <v>0</v>
      </c>
    </row>
    <row r="4" spans="1:2" x14ac:dyDescent="0.3">
      <c r="A4" s="2" t="s">
        <v>21</v>
      </c>
      <c r="B4" s="2">
        <f>B3*9/5+32</f>
        <v>32</v>
      </c>
    </row>
    <row r="5" spans="1:2" x14ac:dyDescent="0.3">
      <c r="A5" s="2" t="s">
        <v>22</v>
      </c>
      <c r="B5" s="2">
        <f>B3+273.15</f>
        <v>273.14999999999998</v>
      </c>
    </row>
    <row r="6" spans="1:2" x14ac:dyDescent="0.3">
      <c r="A6" s="2"/>
      <c r="B6" s="2"/>
    </row>
    <row r="7" spans="1:2" x14ac:dyDescent="0.3">
      <c r="A7" s="2" t="s">
        <v>23</v>
      </c>
      <c r="B7" s="2">
        <v>0</v>
      </c>
    </row>
    <row r="8" spans="1:2" x14ac:dyDescent="0.3">
      <c r="A8" s="2" t="s">
        <v>24</v>
      </c>
      <c r="B8" s="2">
        <f>(B7-32)*5/9</f>
        <v>-17.777777777777779</v>
      </c>
    </row>
    <row r="9" spans="1:2" x14ac:dyDescent="0.3">
      <c r="A9" s="2" t="s">
        <v>25</v>
      </c>
      <c r="B9" s="2">
        <f>(B7-32)*5/9+273.15</f>
        <v>255.37222222222221</v>
      </c>
    </row>
    <row r="10" spans="1:2" x14ac:dyDescent="0.3">
      <c r="A10" s="2"/>
      <c r="B10" s="2"/>
    </row>
    <row r="11" spans="1:2" x14ac:dyDescent="0.3">
      <c r="A11" s="2" t="s">
        <v>26</v>
      </c>
      <c r="B11" s="2">
        <v>0</v>
      </c>
    </row>
    <row r="12" spans="1:2" x14ac:dyDescent="0.3">
      <c r="A12" s="2" t="s">
        <v>27</v>
      </c>
      <c r="B12" s="2">
        <f>B11-273.15</f>
        <v>-273.14999999999998</v>
      </c>
    </row>
    <row r="13" spans="1:2" x14ac:dyDescent="0.3">
      <c r="A13" s="2" t="s">
        <v>28</v>
      </c>
      <c r="B13" s="2">
        <f>(B11-273.15)*9/5+32</f>
        <v>-459.66999999999996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13"/>
  <sheetViews>
    <sheetView workbookViewId="0">
      <selection activeCell="B13" sqref="A1:B13"/>
    </sheetView>
  </sheetViews>
  <sheetFormatPr baseColWidth="10" defaultColWidth="8.88671875" defaultRowHeight="14.4" x14ac:dyDescent="0.3"/>
  <cols>
    <col min="1" max="1" width="28" customWidth="1"/>
    <col min="2" max="2" width="17" customWidth="1"/>
  </cols>
  <sheetData>
    <row r="1" spans="1:2" x14ac:dyDescent="0.3">
      <c r="A1" s="2" t="s">
        <v>29</v>
      </c>
      <c r="B1" s="2"/>
    </row>
    <row r="2" spans="1:2" x14ac:dyDescent="0.3">
      <c r="A2" s="2"/>
      <c r="B2" s="2"/>
    </row>
    <row r="3" spans="1:2" x14ac:dyDescent="0.3">
      <c r="A3" s="2" t="s">
        <v>30</v>
      </c>
      <c r="B3" s="2">
        <v>0</v>
      </c>
    </row>
    <row r="4" spans="1:2" x14ac:dyDescent="0.3">
      <c r="A4" s="2" t="s">
        <v>31</v>
      </c>
      <c r="B4" s="2">
        <f>B3/1048576</f>
        <v>0</v>
      </c>
    </row>
    <row r="5" spans="1:2" x14ac:dyDescent="0.3">
      <c r="A5" s="2" t="s">
        <v>32</v>
      </c>
      <c r="B5" s="2">
        <f>B3/1073741824</f>
        <v>0</v>
      </c>
    </row>
    <row r="6" spans="1:2" x14ac:dyDescent="0.3">
      <c r="A6" s="2"/>
      <c r="B6" s="2"/>
    </row>
    <row r="7" spans="1:2" x14ac:dyDescent="0.3">
      <c r="A7" s="2" t="s">
        <v>33</v>
      </c>
      <c r="B7" s="2">
        <v>0</v>
      </c>
    </row>
    <row r="8" spans="1:2" x14ac:dyDescent="0.3">
      <c r="A8" s="2" t="s">
        <v>34</v>
      </c>
      <c r="B8" s="2">
        <f>B7*1048576</f>
        <v>0</v>
      </c>
    </row>
    <row r="9" spans="1:2" x14ac:dyDescent="0.3">
      <c r="A9" s="2" t="s">
        <v>35</v>
      </c>
      <c r="B9" s="2">
        <f>B7/1024</f>
        <v>0</v>
      </c>
    </row>
    <row r="10" spans="1:2" x14ac:dyDescent="0.3">
      <c r="A10" s="2"/>
      <c r="B10" s="2"/>
    </row>
    <row r="11" spans="1:2" x14ac:dyDescent="0.3">
      <c r="A11" s="2" t="s">
        <v>36</v>
      </c>
      <c r="B11" s="2">
        <v>0</v>
      </c>
    </row>
    <row r="12" spans="1:2" x14ac:dyDescent="0.3">
      <c r="A12" s="2" t="s">
        <v>37</v>
      </c>
      <c r="B12" s="2">
        <f>B11*1073741824</f>
        <v>0</v>
      </c>
    </row>
    <row r="13" spans="1:2" x14ac:dyDescent="0.3">
      <c r="A13" s="2" t="s">
        <v>38</v>
      </c>
      <c r="B13" s="2">
        <f>B11*1024</f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13"/>
  <sheetViews>
    <sheetView topLeftCell="A4" workbookViewId="0">
      <selection activeCell="B1" sqref="B1"/>
    </sheetView>
  </sheetViews>
  <sheetFormatPr baseColWidth="10" defaultColWidth="8.88671875" defaultRowHeight="14.4" x14ac:dyDescent="0.3"/>
  <cols>
    <col min="1" max="1" width="23" customWidth="1"/>
    <col min="2" max="2" width="11" customWidth="1"/>
  </cols>
  <sheetData>
    <row r="1" spans="1:2" x14ac:dyDescent="0.3">
      <c r="A1" s="2" t="s">
        <v>39</v>
      </c>
      <c r="B1" s="2"/>
    </row>
    <row r="2" spans="1:2" x14ac:dyDescent="0.3">
      <c r="A2" s="2"/>
      <c r="B2" s="2"/>
    </row>
    <row r="3" spans="1:2" x14ac:dyDescent="0.3">
      <c r="A3" s="2" t="s">
        <v>40</v>
      </c>
      <c r="B3" s="2">
        <v>0</v>
      </c>
    </row>
    <row r="4" spans="1:2" x14ac:dyDescent="0.3">
      <c r="A4" s="2" t="s">
        <v>41</v>
      </c>
      <c r="B4" s="2">
        <f>B3/60</f>
        <v>0</v>
      </c>
    </row>
    <row r="5" spans="1:2" x14ac:dyDescent="0.3">
      <c r="A5" s="2" t="s">
        <v>42</v>
      </c>
      <c r="B5" s="2">
        <f>B3/3600</f>
        <v>0</v>
      </c>
    </row>
    <row r="6" spans="1:2" x14ac:dyDescent="0.3">
      <c r="A6" s="2"/>
      <c r="B6" s="2"/>
    </row>
    <row r="7" spans="1:2" x14ac:dyDescent="0.3">
      <c r="A7" s="2" t="s">
        <v>43</v>
      </c>
      <c r="B7" s="2">
        <v>0</v>
      </c>
    </row>
    <row r="8" spans="1:2" x14ac:dyDescent="0.3">
      <c r="A8" s="2" t="s">
        <v>44</v>
      </c>
      <c r="B8" s="2">
        <f>B7*60</f>
        <v>0</v>
      </c>
    </row>
    <row r="9" spans="1:2" x14ac:dyDescent="0.3">
      <c r="A9" s="2" t="s">
        <v>45</v>
      </c>
      <c r="B9" s="2">
        <f>B7/60</f>
        <v>0</v>
      </c>
    </row>
    <row r="10" spans="1:2" x14ac:dyDescent="0.3">
      <c r="A10" s="2"/>
      <c r="B10" s="2"/>
    </row>
    <row r="11" spans="1:2" x14ac:dyDescent="0.3">
      <c r="A11" s="2" t="s">
        <v>46</v>
      </c>
      <c r="B11" s="2">
        <v>0</v>
      </c>
    </row>
    <row r="12" spans="1:2" x14ac:dyDescent="0.3">
      <c r="A12" s="2" t="s">
        <v>47</v>
      </c>
      <c r="B12" s="2">
        <f>B11*3600</f>
        <v>0</v>
      </c>
    </row>
    <row r="13" spans="1:2" x14ac:dyDescent="0.3">
      <c r="A13" s="2" t="s">
        <v>48</v>
      </c>
      <c r="B13" s="2">
        <f>B11*60</f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Masa</vt:lpstr>
      <vt:lpstr>Longitud</vt:lpstr>
      <vt:lpstr>Temperatura</vt:lpstr>
      <vt:lpstr>Bytes</vt:lpstr>
      <vt:lpstr>Tiempo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Erik Santiago Alegria Rojas</cp:lastModifiedBy>
  <dcterms:created xsi:type="dcterms:W3CDTF">2025-12-03T06:12:16Z</dcterms:created>
  <dcterms:modified xsi:type="dcterms:W3CDTF">2025-12-05T16:17:06Z</dcterms:modified>
</cp:coreProperties>
</file>