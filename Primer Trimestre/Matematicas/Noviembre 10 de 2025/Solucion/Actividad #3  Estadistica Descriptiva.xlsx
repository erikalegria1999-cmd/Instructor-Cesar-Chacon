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#1" sheetId="1" r:id="rId4"/>
    <sheet state="visible" name="Ejercicio #2" sheetId="2" r:id="rId5"/>
    <sheet state="visible" name="Ejercicio #3" sheetId="3" r:id="rId6"/>
    <sheet state="visible" name="Ejercicio #4" sheetId="4" r:id="rId7"/>
    <sheet state="visible" name="Ejercicio #5" sheetId="5" r:id="rId8"/>
    <sheet state="visible" name="Ejercicio #6" sheetId="6" r:id="rId9"/>
    <sheet state="visible" name="Ejercicio #7" sheetId="7" r:id="rId10"/>
  </sheets>
  <definedNames/>
  <calcPr/>
</workbook>
</file>

<file path=xl/sharedStrings.xml><?xml version="1.0" encoding="utf-8"?>
<sst xmlns="http://schemas.openxmlformats.org/spreadsheetml/2006/main" count="174" uniqueCount="100">
  <si>
    <t>Cliente (individuo)</t>
  </si>
  <si>
    <t>Destino turístico preferido (dato)</t>
  </si>
  <si>
    <t>San Andrés</t>
  </si>
  <si>
    <t>Cartagena</t>
  </si>
  <si>
    <t>Eje Cafetero</t>
  </si>
  <si>
    <t>Medellín</t>
  </si>
  <si>
    <t>Bogotá</t>
  </si>
  <si>
    <t>Santa Marta</t>
  </si>
  <si>
    <t>Cali</t>
  </si>
  <si>
    <t>San Agustín</t>
  </si>
  <si>
    <t>Población: Clientes de Mega Pan en Popayán.</t>
  </si>
  <si>
    <t>Muestra:  120 clientes encuestados.</t>
  </si>
  <si>
    <t>Individuo: Cada cliente participante.</t>
  </si>
  <si>
    <t>Dato: El destino de viaje preferido de cada uno.</t>
  </si>
  <si>
    <t>Fecha</t>
  </si>
  <si>
    <t>Nombre</t>
  </si>
  <si>
    <t>Edad</t>
  </si>
  <si>
    <t>Karen Niheidy Pastás Valencia</t>
  </si>
  <si>
    <t>nicolas</t>
  </si>
  <si>
    <t xml:space="preserve">Andrea Melissa Eraso Montero </t>
  </si>
  <si>
    <t xml:space="preserve">Andrés Felipe montano Bernal </t>
  </si>
  <si>
    <t xml:space="preserve">Samuel santiago Lopez ruano </t>
  </si>
  <si>
    <t xml:space="preserve">Cristian David Montilla </t>
  </si>
  <si>
    <t xml:space="preserve">Adriana Eraso </t>
  </si>
  <si>
    <t xml:space="preserve">Jenner Andrés Piarpuezan Muñoz </t>
  </si>
  <si>
    <t>Juan David Toro Vergara</t>
  </si>
  <si>
    <t xml:space="preserve">Astrith Katherine  Benavides Imbachi </t>
  </si>
  <si>
    <t xml:space="preserve">Emmanuel Bonilla Salazar </t>
  </si>
  <si>
    <t>José David Ortega Golondrino</t>
  </si>
  <si>
    <t>Cristian David Yalanda</t>
  </si>
  <si>
    <t>mediana</t>
  </si>
  <si>
    <t>moda</t>
  </si>
  <si>
    <t>media</t>
  </si>
  <si>
    <t>Frecuencia (f)</t>
  </si>
  <si>
    <t>Frecuencia Aculmulada (FA)</t>
  </si>
  <si>
    <t>Frecuencia Relativa (FR)</t>
  </si>
  <si>
    <t>Dias</t>
  </si>
  <si>
    <t>Productos Ventas</t>
  </si>
  <si>
    <t>Lunes</t>
  </si>
  <si>
    <t>Martes</t>
  </si>
  <si>
    <t>Miercoles</t>
  </si>
  <si>
    <t>Jueves</t>
  </si>
  <si>
    <t>Viernes</t>
  </si>
  <si>
    <t>Sabado</t>
  </si>
  <si>
    <t>Domingo</t>
  </si>
  <si>
    <t>Media</t>
  </si>
  <si>
    <t>Estrellas</t>
  </si>
  <si>
    <t>Frecuencias absolutas (F)</t>
  </si>
  <si>
    <t>Frecuencias Relativas (FR)</t>
  </si>
  <si>
    <t>total</t>
  </si>
  <si>
    <t>Transporte</t>
  </si>
  <si>
    <t>Frecuencia(F)</t>
  </si>
  <si>
    <t>Frecuencia Acumulada (FA)</t>
  </si>
  <si>
    <t>Frecuencia Relativa (Fr)</t>
  </si>
  <si>
    <t>Bus</t>
  </si>
  <si>
    <t>Bicicleta</t>
  </si>
  <si>
    <t>A pie</t>
  </si>
  <si>
    <t>Moto</t>
  </si>
  <si>
    <t>Carro</t>
  </si>
  <si>
    <t>Total</t>
  </si>
  <si>
    <t xml:space="preserve">¿Cuál es la variable? </t>
  </si>
  <si>
    <t>Medio de transporte</t>
  </si>
  <si>
    <t>¿Qué tipo de variable es?</t>
  </si>
  <si>
    <t>cualitativa nominal</t>
  </si>
  <si>
    <t>Temperatura</t>
  </si>
  <si>
    <t>Frecuencia</t>
  </si>
  <si>
    <t>Hora</t>
  </si>
  <si>
    <t>Temperatura (°C)</t>
  </si>
  <si>
    <t>24°</t>
  </si>
  <si>
    <t>25°</t>
  </si>
  <si>
    <t>26°</t>
  </si>
  <si>
    <t>27°</t>
  </si>
  <si>
    <t>28°</t>
  </si>
  <si>
    <t>29°</t>
  </si>
  <si>
    <t>30°</t>
  </si>
  <si>
    <t>31°</t>
  </si>
  <si>
    <t>32°</t>
  </si>
  <si>
    <t>Moda</t>
  </si>
  <si>
    <t>Promedio</t>
  </si>
  <si>
    <t>¿Cuál es la temperatura que más se repite?</t>
  </si>
  <si>
    <t>¿Cuál es la temperatura promedio?</t>
  </si>
  <si>
    <t>Nº</t>
  </si>
  <si>
    <t>Género</t>
  </si>
  <si>
    <t>Platos preferidos</t>
  </si>
  <si>
    <t>Hombre</t>
  </si>
  <si>
    <t>Bandeja Paisa</t>
  </si>
  <si>
    <t>Mujer</t>
  </si>
  <si>
    <t>Ajiaco</t>
  </si>
  <si>
    <t>Ajiaco, Arepa de huevo</t>
  </si>
  <si>
    <t>Bandeja Paisa, Tamal tolimense</t>
  </si>
  <si>
    <t>Bandeja Paisa, Ajiaco</t>
  </si>
  <si>
    <t>Bandeja Paisa, Tamal tolimense, Ajiaco, Lechona, Arepa de huevo</t>
  </si>
  <si>
    <t>Sancocho de pescado</t>
  </si>
  <si>
    <t>Bandeja Paisa, Ajiaco, Lechona</t>
  </si>
  <si>
    <t>Bandeja Paisa, Tamal tolimense, Ajiaco, Lechona</t>
  </si>
  <si>
    <t>Tamal tolimense</t>
  </si>
  <si>
    <t>Plato típico</t>
  </si>
  <si>
    <t>Bandeja paisa</t>
  </si>
  <si>
    <t>Lechona</t>
  </si>
  <si>
    <t>Arepa de huevo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</si>
</sst>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sz val="12.0"/>
      <color rgb="FF434343"/>
      <name val="Roboto"/>
    </font>
    <font>
      <sz val="12.0"/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2" fontId="4" numFmtId="164" xfId="0" applyAlignment="1" applyBorder="1" applyFill="1" applyFont="1" applyNumberFormat="1">
      <alignment horizontal="center" shrinkToFit="0" wrapText="0"/>
    </xf>
    <xf borderId="1" fillId="2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vertical="bottom"/>
    </xf>
    <xf borderId="1" fillId="3" fontId="4" numFmtId="164" xfId="0" applyAlignment="1" applyBorder="1" applyFill="1" applyFont="1" applyNumberFormat="1">
      <alignment horizontal="center" shrinkToFit="0" wrapText="0"/>
    </xf>
    <xf borderId="1" fillId="3" fontId="4" numFmtId="0" xfId="0" applyAlignment="1" applyBorder="1" applyFont="1">
      <alignment horizontal="center" shrinkToFit="0" wrapText="0"/>
    </xf>
    <xf borderId="2" fillId="3" fontId="4" numFmtId="0" xfId="0" applyAlignment="1" applyBorder="1" applyFont="1">
      <alignment horizontal="center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0" fillId="0" fontId="8" numFmtId="0" xfId="0" applyFont="1"/>
    <xf borderId="1" fillId="0" fontId="8" numFmtId="0" xfId="0" applyBorder="1" applyFont="1"/>
    <xf borderId="0" fillId="0" fontId="6" numFmtId="0" xfId="0" applyFont="1"/>
    <xf borderId="0" fillId="0" fontId="8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9" numFmtId="0" xfId="0" applyFont="1"/>
    <xf borderId="1" fillId="0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9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0" xfId="0" applyBorder="1" applyFont="1" applyNumberFormat="1"/>
    <xf borderId="0" fillId="0" fontId="1" numFmtId="0" xfId="0" applyAlignment="1" applyFont="1">
      <alignment horizontal="center" readingOrder="0"/>
    </xf>
    <xf borderId="1" fillId="0" fontId="3" numFmtId="2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9" numFmtId="0" xfId="0" applyBorder="1" applyFont="1"/>
    <xf borderId="1" fillId="0" fontId="10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Ejercicio #2-style">
      <tableStyleElement dxfId="1" type="firstRowStripe"/>
      <tableStyleElement dxfId="2" type="secondRowStripe"/>
    </tableStyle>
    <tableStyle count="2" pivot="0" name="Ejercicio #7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(individuo) contra Destino turístico preferido (dato)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'Ejercicio #1'!$A$3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'Ejercicio #1'!$B$4:$B$18</c:f>
            </c:strRef>
          </c:cat>
          <c:val>
            <c:numRef>
              <c:f>'Ejercicio #1'!$A$4:$A$18</c:f>
              <c:numCache/>
            </c:numRef>
          </c:val>
        </c:ser>
        <c:axId val="342446287"/>
        <c:axId val="891989249"/>
      </c:barChart>
      <c:catAx>
        <c:axId val="342446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Destino turístico preferido (dato)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989249"/>
      </c:catAx>
      <c:valAx>
        <c:axId val="891989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Cliente (individuo)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446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edad de mis compañeros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'Ejercicio #2'!$D$1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'Ejercicio #2'!$C$2:$C$14</c:f>
            </c:strRef>
          </c:cat>
          <c:val>
            <c:numRef>
              <c:f>'Ejercicio #2'!$D$2:$D$14</c:f>
              <c:numCache/>
            </c:numRef>
          </c:val>
        </c:ser>
        <c:axId val="1829963594"/>
        <c:axId val="516323928"/>
      </c:barChart>
      <c:catAx>
        <c:axId val="1829963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323928"/>
      </c:catAx>
      <c:valAx>
        <c:axId val="516323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963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Productos Ventas contra Dias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'Ejercicio #3'!$B$2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'Ejercicio #3'!$A$3:$A$10</c:f>
            </c:strRef>
          </c:cat>
          <c:val>
            <c:numRef>
              <c:f>'Ejercicio #3'!$B$3:$B$10</c:f>
              <c:numCache/>
            </c:numRef>
          </c:val>
          <c:smooth val="0"/>
        </c:ser>
        <c:axId val="705433726"/>
        <c:axId val="556195020"/>
      </c:lineChart>
      <c:catAx>
        <c:axId val="705433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195020"/>
      </c:catAx>
      <c:valAx>
        <c:axId val="556195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Productos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433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Frecuencias absolutas (F) contra Estrellas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'Ejercicio #4'!$B$6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'Ejercicio #4'!$A$7:$A$10</c:f>
            </c:strRef>
          </c:cat>
          <c:val>
            <c:numRef>
              <c:f>'Ejercicio #4'!$B$7:$B$10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Medio de Transporte de los estudiantes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'Ejercicio #5'!$A$4:$A$8</c:f>
            </c:strRef>
          </c:cat>
          <c:val>
            <c:numRef>
              <c:f>'Ejercicio #5'!$B$4:$B$8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'Ejercicio #6'!$F$3:$F$27</c:f>
              <c:numCache/>
            </c:numRef>
          </c:val>
        </c:ser>
        <c:axId val="2059497026"/>
        <c:axId val="107353958"/>
      </c:barChart>
      <c:catAx>
        <c:axId val="2059497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53958"/>
      </c:catAx>
      <c:valAx>
        <c:axId val="107353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497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Frecuencia contra Plato típico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'Ejercicio #7'!$B$27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'Ejercicio #7'!$A$28:$A$33</c:f>
            </c:strRef>
          </c:cat>
          <c:val>
            <c:numRef>
              <c:f>'Ejercicio #7'!$B$28:$B$33</c:f>
              <c:numCache/>
            </c:numRef>
          </c:val>
        </c:ser>
        <c:axId val="358899898"/>
        <c:axId val="1225153560"/>
      </c:barChart>
      <c:catAx>
        <c:axId val="358899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Plato típico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153560"/>
      </c:catAx>
      <c:valAx>
        <c:axId val="1225153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Frecuencia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899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Frecuencia contra Plato típico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'Ejercicio #7'!$B$27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'Ejercicio #7'!$A$28:$A$33</c:f>
            </c:strRef>
          </c:cat>
          <c:val>
            <c:numRef>
              <c:f>'Ejercicio #7'!$B$28:$B$33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1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</xdr:colOff>
      <xdr:row>0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171450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</xdr:colOff>
      <xdr:row>15</xdr:row>
      <xdr:rowOff>171450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B2:D15" displayName="Table_1" name="Table_1" id="1">
  <tableColumns count="3">
    <tableColumn name="Column1" id="1"/>
    <tableColumn name="Column2" id="2"/>
    <tableColumn name="Column3" id="3"/>
  </tableColumns>
  <tableStyleInfo name="Ejercicio #2-style" showColumnStripes="0" showFirstColumn="1" showLastColumn="1" showRowStripes="1"/>
</table>
</file>

<file path=xl/tables/table2.xml><?xml version="1.0" encoding="utf-8"?>
<table xmlns="http://schemas.openxmlformats.org/spreadsheetml/2006/main" headerRowCount="0" ref="A1:C23" displayName="Table_2" name="Table_2" id="2">
  <tableColumns count="3">
    <tableColumn name="Column1" id="1"/>
    <tableColumn name="Column2" id="2"/>
    <tableColumn name="Column3" id="3"/>
  </tableColumns>
  <tableStyleInfo name="Ejercicio #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2F65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9.88"/>
  </cols>
  <sheetData>
    <row r="3">
      <c r="A3" s="1" t="s">
        <v>0</v>
      </c>
      <c r="B3" s="1" t="s">
        <v>1</v>
      </c>
    </row>
    <row r="4">
      <c r="A4" s="2">
        <v>1.0</v>
      </c>
      <c r="B4" s="2" t="s">
        <v>2</v>
      </c>
    </row>
    <row r="5">
      <c r="A5" s="2">
        <v>2.0</v>
      </c>
      <c r="B5" s="2" t="s">
        <v>3</v>
      </c>
    </row>
    <row r="6">
      <c r="A6" s="2">
        <v>3.0</v>
      </c>
      <c r="B6" s="2" t="s">
        <v>4</v>
      </c>
    </row>
    <row r="7">
      <c r="A7" s="2">
        <v>4.0</v>
      </c>
      <c r="B7" s="2" t="s">
        <v>5</v>
      </c>
    </row>
    <row r="8">
      <c r="A8" s="2">
        <v>5.0</v>
      </c>
      <c r="B8" s="2" t="s">
        <v>2</v>
      </c>
    </row>
    <row r="9">
      <c r="A9" s="2">
        <v>6.0</v>
      </c>
      <c r="B9" s="2" t="s">
        <v>6</v>
      </c>
    </row>
    <row r="10">
      <c r="A10" s="2">
        <v>7.0</v>
      </c>
      <c r="B10" s="2" t="s">
        <v>7</v>
      </c>
    </row>
    <row r="11">
      <c r="A11" s="2">
        <v>8.0</v>
      </c>
      <c r="B11" s="2" t="s">
        <v>3</v>
      </c>
    </row>
    <row r="12">
      <c r="A12" s="2">
        <v>9.0</v>
      </c>
      <c r="B12" s="2" t="s">
        <v>5</v>
      </c>
    </row>
    <row r="13">
      <c r="A13" s="2">
        <v>10.0</v>
      </c>
      <c r="B13" s="2" t="s">
        <v>2</v>
      </c>
    </row>
    <row r="14">
      <c r="A14" s="2">
        <v>11.0</v>
      </c>
      <c r="B14" s="2" t="s">
        <v>8</v>
      </c>
    </row>
    <row r="15">
      <c r="A15" s="2">
        <v>12.0</v>
      </c>
      <c r="B15" s="2" t="s">
        <v>3</v>
      </c>
    </row>
    <row r="16">
      <c r="A16" s="2">
        <v>13.0</v>
      </c>
      <c r="B16" s="2" t="s">
        <v>9</v>
      </c>
    </row>
    <row r="17">
      <c r="A17" s="2">
        <v>14.0</v>
      </c>
      <c r="B17" s="2" t="s">
        <v>2</v>
      </c>
    </row>
    <row r="18">
      <c r="A18" s="2">
        <v>15.0</v>
      </c>
      <c r="B18" s="2" t="s">
        <v>4</v>
      </c>
    </row>
    <row r="20">
      <c r="A20" s="3" t="s">
        <v>10</v>
      </c>
      <c r="B20" s="4"/>
    </row>
    <row r="21">
      <c r="A21" s="4"/>
      <c r="B21" s="4"/>
    </row>
    <row r="22">
      <c r="A22" s="3" t="s">
        <v>11</v>
      </c>
      <c r="B22" s="4"/>
    </row>
    <row r="23">
      <c r="A23" s="4"/>
      <c r="B23" s="4"/>
    </row>
    <row r="24">
      <c r="A24" s="3" t="s">
        <v>12</v>
      </c>
      <c r="B24" s="4"/>
    </row>
    <row r="25">
      <c r="A25" s="4"/>
      <c r="B25" s="4"/>
    </row>
    <row r="26">
      <c r="A26" s="3" t="s">
        <v>13</v>
      </c>
      <c r="B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5.5"/>
    <col customWidth="1" min="3" max="3" width="31.0"/>
    <col customWidth="1" min="4" max="4" width="23.75"/>
    <col customWidth="1" min="5" max="5" width="24.38"/>
  </cols>
  <sheetData>
    <row r="1">
      <c r="B1" s="2" t="s">
        <v>14</v>
      </c>
      <c r="C1" s="2" t="s">
        <v>15</v>
      </c>
      <c r="D1" s="5" t="s">
        <v>16</v>
      </c>
      <c r="E1" s="6"/>
    </row>
    <row r="2">
      <c r="B2" s="7">
        <v>45974.72933674768</v>
      </c>
      <c r="C2" s="8" t="s">
        <v>17</v>
      </c>
      <c r="D2" s="9">
        <v>25.0</v>
      </c>
      <c r="E2" s="10"/>
    </row>
    <row r="3">
      <c r="B3" s="11">
        <v>45974.729527627314</v>
      </c>
      <c r="C3" s="12" t="s">
        <v>18</v>
      </c>
      <c r="D3" s="13">
        <v>27.0</v>
      </c>
      <c r="E3" s="10"/>
    </row>
    <row r="4">
      <c r="B4" s="7">
        <v>45974.72985513889</v>
      </c>
      <c r="C4" s="8" t="s">
        <v>19</v>
      </c>
      <c r="D4" s="9">
        <v>17.0</v>
      </c>
      <c r="E4" s="10"/>
    </row>
    <row r="5">
      <c r="B5" s="11">
        <v>45974.73024395833</v>
      </c>
      <c r="C5" s="12" t="s">
        <v>20</v>
      </c>
      <c r="D5" s="13">
        <v>18.0</v>
      </c>
      <c r="E5" s="10"/>
    </row>
    <row r="6">
      <c r="B6" s="7">
        <v>45974.73216986111</v>
      </c>
      <c r="C6" s="8" t="s">
        <v>21</v>
      </c>
      <c r="D6" s="9">
        <v>17.0</v>
      </c>
      <c r="E6" s="10"/>
    </row>
    <row r="7">
      <c r="B7" s="11">
        <v>45974.73900714121</v>
      </c>
      <c r="C7" s="12" t="s">
        <v>22</v>
      </c>
      <c r="D7" s="13">
        <v>17.0</v>
      </c>
      <c r="E7" s="10"/>
    </row>
    <row r="8">
      <c r="B8" s="7">
        <v>45974.74582622685</v>
      </c>
      <c r="C8" s="8" t="s">
        <v>23</v>
      </c>
      <c r="D8" s="9">
        <v>19.0</v>
      </c>
      <c r="E8" s="10"/>
    </row>
    <row r="9">
      <c r="B9" s="11">
        <v>45974.75447734953</v>
      </c>
      <c r="C9" s="12" t="s">
        <v>24</v>
      </c>
      <c r="D9" s="14">
        <v>17.0</v>
      </c>
      <c r="E9" s="10"/>
    </row>
    <row r="10">
      <c r="B10" s="7">
        <v>45974.86820362268</v>
      </c>
      <c r="C10" s="8" t="s">
        <v>25</v>
      </c>
      <c r="D10" s="9">
        <v>18.0</v>
      </c>
      <c r="E10" s="10"/>
    </row>
    <row r="11">
      <c r="B11" s="11">
        <v>45974.88645795139</v>
      </c>
      <c r="C11" s="12" t="s">
        <v>26</v>
      </c>
      <c r="D11" s="13">
        <v>17.0</v>
      </c>
      <c r="E11" s="10"/>
    </row>
    <row r="12">
      <c r="B12" s="7">
        <v>45975.48052383102</v>
      </c>
      <c r="C12" s="8" t="s">
        <v>27</v>
      </c>
      <c r="D12" s="9">
        <v>17.0</v>
      </c>
      <c r="E12" s="10"/>
    </row>
    <row r="13">
      <c r="B13" s="11">
        <v>45975.78929003472</v>
      </c>
      <c r="C13" s="12" t="s">
        <v>28</v>
      </c>
      <c r="D13" s="13">
        <v>18.0</v>
      </c>
      <c r="E13" s="10"/>
    </row>
    <row r="14">
      <c r="B14" s="7">
        <v>45976.47154608797</v>
      </c>
      <c r="C14" s="8" t="s">
        <v>29</v>
      </c>
      <c r="D14" s="9">
        <v>21.0</v>
      </c>
      <c r="E14" s="10"/>
    </row>
    <row r="15">
      <c r="B15" s="8"/>
      <c r="C15" s="15"/>
      <c r="D15" s="9"/>
      <c r="E15" s="6"/>
    </row>
    <row r="16">
      <c r="B16" s="6"/>
      <c r="C16" s="6"/>
      <c r="D16" s="6"/>
      <c r="E16" s="6"/>
    </row>
    <row r="18">
      <c r="B18" s="16" t="s">
        <v>30</v>
      </c>
      <c r="C18" s="16" t="s">
        <v>31</v>
      </c>
      <c r="D18" s="16" t="s">
        <v>32</v>
      </c>
    </row>
    <row r="19">
      <c r="B19" s="17">
        <f>MEDIAN(D2:D14)</f>
        <v>18</v>
      </c>
      <c r="C19" s="17">
        <f>MODE(D2:D14)</f>
        <v>17</v>
      </c>
      <c r="D19" s="17">
        <f>SUM(D2:D14)/13</f>
        <v>19.07692308</v>
      </c>
    </row>
    <row r="22">
      <c r="B22" s="18"/>
      <c r="C22" s="18"/>
      <c r="D22" s="19"/>
      <c r="E22" s="18"/>
      <c r="F22" s="18"/>
    </row>
    <row r="23">
      <c r="B23" s="20" t="s">
        <v>16</v>
      </c>
      <c r="C23" s="20" t="s">
        <v>33</v>
      </c>
      <c r="D23" s="20" t="s">
        <v>34</v>
      </c>
      <c r="E23" s="20" t="s">
        <v>35</v>
      </c>
      <c r="F23" s="18"/>
    </row>
    <row r="24">
      <c r="B24" s="20">
        <v>17.0</v>
      </c>
      <c r="C24" s="20">
        <v>6.0</v>
      </c>
      <c r="D24" s="20">
        <v>6.0</v>
      </c>
      <c r="E24" s="21">
        <f>6*100/13</f>
        <v>46.15384615</v>
      </c>
      <c r="F24" s="18"/>
    </row>
    <row r="25">
      <c r="B25" s="20">
        <v>18.0</v>
      </c>
      <c r="C25" s="20">
        <v>3.0</v>
      </c>
      <c r="D25" s="20">
        <v>9.0</v>
      </c>
      <c r="E25" s="21">
        <f>3*100/13</f>
        <v>23.07692308</v>
      </c>
      <c r="F25" s="18"/>
    </row>
    <row r="26">
      <c r="B26" s="20">
        <v>19.0</v>
      </c>
      <c r="C26" s="20">
        <v>1.0</v>
      </c>
      <c r="D26" s="20">
        <v>10.0</v>
      </c>
      <c r="E26" s="21">
        <f t="shared" ref="E26:E29" si="1">1*100/13</f>
        <v>7.692307692</v>
      </c>
      <c r="F26" s="18"/>
    </row>
    <row r="27">
      <c r="B27" s="20">
        <v>21.0</v>
      </c>
      <c r="C27" s="20">
        <v>1.0</v>
      </c>
      <c r="D27" s="20">
        <v>11.0</v>
      </c>
      <c r="E27" s="21">
        <f t="shared" si="1"/>
        <v>7.692307692</v>
      </c>
      <c r="F27" s="18"/>
    </row>
    <row r="28">
      <c r="B28" s="20">
        <v>25.0</v>
      </c>
      <c r="C28" s="20">
        <v>1.0</v>
      </c>
      <c r="D28" s="20">
        <v>12.0</v>
      </c>
      <c r="E28" s="21">
        <f t="shared" si="1"/>
        <v>7.692307692</v>
      </c>
      <c r="F28" s="18"/>
    </row>
    <row r="29">
      <c r="B29" s="20">
        <v>27.0</v>
      </c>
      <c r="C29" s="20">
        <v>1.0</v>
      </c>
      <c r="D29" s="20">
        <v>13.0</v>
      </c>
      <c r="E29" s="21">
        <f t="shared" si="1"/>
        <v>7.692307692</v>
      </c>
      <c r="F29" s="18"/>
    </row>
    <row r="30">
      <c r="B30" s="21"/>
      <c r="C30" s="21">
        <f>SUM(C24:C29)</f>
        <v>13</v>
      </c>
      <c r="D30" s="20">
        <v>13.0</v>
      </c>
      <c r="E30" s="21">
        <f>SUM(E24:E29)</f>
        <v>100</v>
      </c>
      <c r="F30" s="18"/>
    </row>
    <row r="31">
      <c r="B31" s="18"/>
      <c r="C31" s="18"/>
      <c r="D31" s="18"/>
      <c r="E31" s="18"/>
      <c r="F31" s="1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3.25"/>
    <col customWidth="1" min="4" max="4" width="27.63"/>
    <col customWidth="1" min="5" max="5" width="34.0"/>
  </cols>
  <sheetData>
    <row r="2">
      <c r="A2" s="22" t="s">
        <v>36</v>
      </c>
      <c r="B2" s="22" t="s">
        <v>37</v>
      </c>
      <c r="C2" s="23"/>
    </row>
    <row r="3">
      <c r="A3" s="22" t="s">
        <v>38</v>
      </c>
      <c r="B3" s="22">
        <v>20.0</v>
      </c>
      <c r="C3" s="23"/>
    </row>
    <row r="4">
      <c r="A4" s="22" t="s">
        <v>39</v>
      </c>
      <c r="B4" s="22">
        <v>22.0</v>
      </c>
      <c r="C4" s="23"/>
    </row>
    <row r="5">
      <c r="A5" s="22" t="s">
        <v>40</v>
      </c>
      <c r="B5" s="22">
        <v>25.0</v>
      </c>
      <c r="C5" s="23"/>
    </row>
    <row r="6">
      <c r="A6" s="22" t="s">
        <v>41</v>
      </c>
      <c r="B6" s="22">
        <v>28.0</v>
      </c>
      <c r="C6" s="23"/>
    </row>
    <row r="7">
      <c r="A7" s="22" t="s">
        <v>42</v>
      </c>
      <c r="B7" s="22">
        <v>26.0</v>
      </c>
      <c r="C7" s="23"/>
    </row>
    <row r="8">
      <c r="A8" s="22" t="s">
        <v>43</v>
      </c>
      <c r="B8" s="22">
        <v>30.0</v>
      </c>
      <c r="C8" s="23"/>
    </row>
    <row r="9">
      <c r="A9" s="22" t="s">
        <v>44</v>
      </c>
      <c r="B9" s="22">
        <v>29.0</v>
      </c>
      <c r="C9" s="23"/>
    </row>
    <row r="10">
      <c r="A10" s="22" t="s">
        <v>45</v>
      </c>
      <c r="B10" s="24">
        <f>MEDIAN(B3:B9)</f>
        <v>26</v>
      </c>
      <c r="C10" s="25"/>
    </row>
    <row r="11">
      <c r="A11" s="25"/>
      <c r="B11" s="25"/>
      <c r="C11" s="25"/>
    </row>
    <row r="19">
      <c r="A19" s="26"/>
      <c r="B19" s="27"/>
      <c r="C19" s="27"/>
      <c r="D19" s="27"/>
    </row>
    <row r="20">
      <c r="A20" s="26"/>
      <c r="B20" s="28"/>
      <c r="C20" s="28"/>
      <c r="D20" s="25"/>
    </row>
    <row r="21">
      <c r="A21" s="26"/>
      <c r="B21" s="28"/>
      <c r="C21" s="28"/>
      <c r="D21" s="28"/>
    </row>
    <row r="22">
      <c r="A22" s="26"/>
      <c r="B22" s="28"/>
      <c r="C22" s="28"/>
      <c r="D22" s="28"/>
    </row>
    <row r="23">
      <c r="A23" s="26"/>
      <c r="B23" s="28"/>
      <c r="C23" s="28"/>
      <c r="D23" s="28"/>
    </row>
    <row r="24">
      <c r="A24" s="26"/>
      <c r="B24" s="28"/>
      <c r="C24" s="28"/>
      <c r="D24" s="28"/>
    </row>
    <row r="25">
      <c r="A25" s="26"/>
      <c r="B25" s="28"/>
      <c r="C25" s="28"/>
      <c r="D25" s="28"/>
    </row>
    <row r="26">
      <c r="A26" s="26"/>
      <c r="B26" s="28"/>
      <c r="C26" s="28"/>
      <c r="D26" s="28"/>
    </row>
    <row r="27">
      <c r="A27" s="25"/>
      <c r="B27" s="25"/>
      <c r="C27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2" max="2" width="28.0"/>
    <col customWidth="1" min="3" max="3" width="39.63"/>
    <col customWidth="1" min="4" max="4" width="16.0"/>
  </cols>
  <sheetData>
    <row r="1">
      <c r="A1" s="29"/>
      <c r="B1" s="29"/>
      <c r="C1" s="29"/>
      <c r="D1" s="29"/>
    </row>
    <row r="2">
      <c r="A2" s="29"/>
      <c r="B2" s="29"/>
      <c r="C2" s="29"/>
      <c r="D2" s="29"/>
    </row>
    <row r="3">
      <c r="A3" s="29"/>
      <c r="B3" s="29"/>
      <c r="C3" s="29"/>
      <c r="D3" s="29"/>
    </row>
    <row r="4">
      <c r="A4" s="29"/>
      <c r="B4" s="29"/>
      <c r="C4" s="29"/>
      <c r="D4" s="29"/>
    </row>
    <row r="5">
      <c r="A5" s="29"/>
      <c r="B5" s="29"/>
      <c r="C5" s="29"/>
      <c r="D5" s="29"/>
    </row>
    <row r="6">
      <c r="A6" s="30" t="s">
        <v>46</v>
      </c>
      <c r="B6" s="30" t="s">
        <v>47</v>
      </c>
      <c r="C6" s="30" t="s">
        <v>48</v>
      </c>
      <c r="D6" s="29"/>
    </row>
    <row r="7">
      <c r="A7" s="30">
        <v>1.0</v>
      </c>
      <c r="B7" s="30">
        <v>6.0</v>
      </c>
      <c r="C7" s="30">
        <f>6*100/38</f>
        <v>15.78947368</v>
      </c>
    </row>
    <row r="8">
      <c r="A8" s="30">
        <v>2.0</v>
      </c>
      <c r="B8" s="30">
        <v>12.0</v>
      </c>
      <c r="C8" s="30">
        <f>12*100/38</f>
        <v>31.57894737</v>
      </c>
    </row>
    <row r="9">
      <c r="A9" s="30">
        <v>3.0</v>
      </c>
      <c r="B9" s="30">
        <v>16.0</v>
      </c>
      <c r="C9" s="30">
        <f>16*100/38</f>
        <v>42.10526316</v>
      </c>
    </row>
    <row r="10">
      <c r="A10" s="30">
        <v>4.0</v>
      </c>
      <c r="B10" s="30">
        <v>4.0</v>
      </c>
      <c r="C10" s="30">
        <f>4*100/38</f>
        <v>10.52631579</v>
      </c>
    </row>
    <row r="11">
      <c r="A11" s="30" t="s">
        <v>49</v>
      </c>
      <c r="B11" s="30">
        <f t="shared" ref="B11:C11" si="1">SUM(B7:B10)</f>
        <v>38</v>
      </c>
      <c r="C11" s="30">
        <f t="shared" si="1"/>
        <v>100</v>
      </c>
    </row>
    <row r="12">
      <c r="A12" s="22" t="s">
        <v>31</v>
      </c>
      <c r="B12" s="22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3.25"/>
    <col customWidth="1" min="4" max="4" width="24.63"/>
  </cols>
  <sheetData>
    <row r="2">
      <c r="A2" s="23"/>
      <c r="B2" s="23"/>
      <c r="D2" s="23"/>
    </row>
    <row r="3">
      <c r="A3" s="1" t="s">
        <v>50</v>
      </c>
      <c r="B3" s="1" t="s">
        <v>51</v>
      </c>
      <c r="C3" s="31" t="s">
        <v>52</v>
      </c>
      <c r="D3" s="1" t="s">
        <v>53</v>
      </c>
    </row>
    <row r="4">
      <c r="A4" s="31" t="s">
        <v>54</v>
      </c>
      <c r="B4" s="31">
        <v>15.0</v>
      </c>
      <c r="C4" s="31">
        <v>15.0</v>
      </c>
      <c r="D4" s="32">
        <v>0.375</v>
      </c>
    </row>
    <row r="5">
      <c r="A5" s="31" t="s">
        <v>55</v>
      </c>
      <c r="B5" s="31">
        <v>5.0</v>
      </c>
      <c r="C5" s="31">
        <v>20.0</v>
      </c>
      <c r="D5" s="32">
        <v>0.125</v>
      </c>
    </row>
    <row r="6">
      <c r="A6" s="31" t="s">
        <v>56</v>
      </c>
      <c r="B6" s="31">
        <v>10.0</v>
      </c>
      <c r="C6" s="31">
        <v>30.0</v>
      </c>
      <c r="D6" s="33">
        <v>0.25</v>
      </c>
    </row>
    <row r="7">
      <c r="A7" s="31" t="s">
        <v>57</v>
      </c>
      <c r="B7" s="31">
        <v>8.0</v>
      </c>
      <c r="C7" s="31">
        <v>38.0</v>
      </c>
      <c r="D7" s="33">
        <v>0.2</v>
      </c>
    </row>
    <row r="8">
      <c r="A8" s="31" t="s">
        <v>58</v>
      </c>
      <c r="B8" s="31">
        <v>2.0</v>
      </c>
      <c r="C8" s="31">
        <v>40.0</v>
      </c>
      <c r="D8" s="32">
        <v>0.05</v>
      </c>
    </row>
    <row r="9">
      <c r="A9" s="31" t="s">
        <v>59</v>
      </c>
      <c r="B9" s="31">
        <v>40.0</v>
      </c>
      <c r="C9" s="34"/>
      <c r="D9" s="35">
        <f>SUM(D4:D8)</f>
        <v>1</v>
      </c>
    </row>
    <row r="10">
      <c r="A10" s="23"/>
      <c r="B10" s="23"/>
      <c r="D10" s="23"/>
    </row>
    <row r="12">
      <c r="A12" s="26" t="s">
        <v>60</v>
      </c>
      <c r="B12" s="23"/>
      <c r="C12" s="26" t="s">
        <v>61</v>
      </c>
    </row>
    <row r="13">
      <c r="A13" s="26" t="s">
        <v>62</v>
      </c>
      <c r="B13" s="23"/>
      <c r="C13" s="26" t="s">
        <v>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1.75"/>
    <col customWidth="1" min="7" max="7" width="23.63"/>
  </cols>
  <sheetData>
    <row r="2">
      <c r="A2" s="36"/>
      <c r="B2" s="36"/>
    </row>
    <row r="3">
      <c r="A3" s="1" t="s">
        <v>64</v>
      </c>
      <c r="B3" s="1" t="s">
        <v>65</v>
      </c>
      <c r="F3" s="30" t="s">
        <v>66</v>
      </c>
      <c r="G3" s="30" t="s">
        <v>67</v>
      </c>
    </row>
    <row r="4">
      <c r="A4" s="1" t="s">
        <v>68</v>
      </c>
      <c r="B4" s="1">
        <v>7.0</v>
      </c>
      <c r="F4" s="37">
        <v>0.0</v>
      </c>
      <c r="G4" s="38" t="s">
        <v>69</v>
      </c>
    </row>
    <row r="5">
      <c r="A5" s="1" t="s">
        <v>69</v>
      </c>
      <c r="B5" s="1">
        <v>4.0</v>
      </c>
      <c r="F5" s="37">
        <v>0.041666666666666664</v>
      </c>
      <c r="G5" s="38" t="s">
        <v>69</v>
      </c>
    </row>
    <row r="6">
      <c r="A6" s="1" t="s">
        <v>70</v>
      </c>
      <c r="B6" s="1">
        <v>2.0</v>
      </c>
      <c r="F6" s="37">
        <v>0.08333333333333333</v>
      </c>
      <c r="G6" s="38" t="s">
        <v>68</v>
      </c>
    </row>
    <row r="7">
      <c r="A7" s="1" t="s">
        <v>71</v>
      </c>
      <c r="B7" s="1">
        <v>2.0</v>
      </c>
      <c r="F7" s="37">
        <v>0.125</v>
      </c>
      <c r="G7" s="38" t="s">
        <v>68</v>
      </c>
    </row>
    <row r="8">
      <c r="A8" s="1" t="s">
        <v>72</v>
      </c>
      <c r="B8" s="1">
        <v>1.0</v>
      </c>
      <c r="F8" s="37">
        <v>0.16666666666666666</v>
      </c>
      <c r="G8" s="38" t="s">
        <v>68</v>
      </c>
    </row>
    <row r="9">
      <c r="A9" s="1" t="s">
        <v>73</v>
      </c>
      <c r="B9" s="1">
        <v>2.0</v>
      </c>
      <c r="F9" s="37">
        <v>0.20833333333333334</v>
      </c>
      <c r="G9" s="38" t="s">
        <v>68</v>
      </c>
    </row>
    <row r="10">
      <c r="A10" s="1" t="s">
        <v>74</v>
      </c>
      <c r="B10" s="1">
        <v>2.0</v>
      </c>
      <c r="F10" s="37">
        <v>0.25</v>
      </c>
      <c r="G10" s="38" t="s">
        <v>68</v>
      </c>
    </row>
    <row r="11">
      <c r="A11" s="1" t="s">
        <v>75</v>
      </c>
      <c r="B11" s="1">
        <v>2.0</v>
      </c>
      <c r="F11" s="37">
        <v>0.2916666666666667</v>
      </c>
      <c r="G11" s="38" t="s">
        <v>68</v>
      </c>
    </row>
    <row r="12">
      <c r="A12" s="1" t="s">
        <v>76</v>
      </c>
      <c r="B12" s="1">
        <v>2.0</v>
      </c>
      <c r="F12" s="37">
        <v>0.3333333333333333</v>
      </c>
      <c r="G12" s="38" t="s">
        <v>70</v>
      </c>
    </row>
    <row r="13">
      <c r="A13" s="39" t="s">
        <v>77</v>
      </c>
      <c r="B13" s="39">
        <f>MODE(B4:B12)</f>
        <v>2</v>
      </c>
      <c r="F13" s="37">
        <v>0.375</v>
      </c>
      <c r="G13" s="38" t="s">
        <v>71</v>
      </c>
    </row>
    <row r="14">
      <c r="A14" s="39" t="s">
        <v>78</v>
      </c>
      <c r="B14" s="39">
        <f>AVERAGE(B4:B12)</f>
        <v>2.666666667</v>
      </c>
      <c r="F14" s="37">
        <v>0.4166666666666667</v>
      </c>
      <c r="G14" s="38" t="s">
        <v>72</v>
      </c>
    </row>
    <row r="15">
      <c r="A15" s="39" t="s">
        <v>45</v>
      </c>
      <c r="B15" s="39">
        <f>AVERAGE(B4:B12)</f>
        <v>2.666666667</v>
      </c>
      <c r="F15" s="37">
        <v>0.4583333333333333</v>
      </c>
      <c r="G15" s="38" t="s">
        <v>73</v>
      </c>
    </row>
    <row r="16">
      <c r="A16" s="40"/>
      <c r="B16" s="39"/>
      <c r="F16" s="37">
        <v>0.5</v>
      </c>
      <c r="G16" s="38" t="s">
        <v>74</v>
      </c>
    </row>
    <row r="17">
      <c r="A17" s="41" t="s">
        <v>79</v>
      </c>
      <c r="B17" s="41"/>
      <c r="C17" s="42"/>
      <c r="D17" s="41" t="s">
        <v>68</v>
      </c>
      <c r="F17" s="37">
        <v>0.5416666666666666</v>
      </c>
      <c r="G17" s="38" t="s">
        <v>75</v>
      </c>
    </row>
    <row r="18">
      <c r="A18" s="41" t="s">
        <v>80</v>
      </c>
      <c r="B18" s="41"/>
      <c r="C18" s="42"/>
      <c r="D18" s="41">
        <v>2.6</v>
      </c>
      <c r="F18" s="37">
        <v>0.5833333333333334</v>
      </c>
      <c r="G18" s="38" t="s">
        <v>76</v>
      </c>
    </row>
    <row r="19">
      <c r="A19" s="40"/>
      <c r="B19" s="39"/>
      <c r="F19" s="37">
        <v>0.625</v>
      </c>
      <c r="G19" s="38" t="s">
        <v>76</v>
      </c>
    </row>
    <row r="20">
      <c r="A20" s="40"/>
      <c r="B20" s="39"/>
      <c r="F20" s="37">
        <v>0.6666666666666666</v>
      </c>
      <c r="G20" s="38" t="s">
        <v>75</v>
      </c>
    </row>
    <row r="21">
      <c r="A21" s="40"/>
      <c r="B21" s="39"/>
      <c r="F21" s="37">
        <v>0.7083333333333334</v>
      </c>
      <c r="G21" s="38" t="s">
        <v>74</v>
      </c>
    </row>
    <row r="22">
      <c r="A22" s="40"/>
      <c r="B22" s="39"/>
      <c r="F22" s="37">
        <v>0.75</v>
      </c>
      <c r="G22" s="38" t="s">
        <v>73</v>
      </c>
    </row>
    <row r="23">
      <c r="A23" s="40"/>
      <c r="B23" s="39"/>
      <c r="F23" s="37">
        <v>0.7916666666666666</v>
      </c>
      <c r="G23" s="38" t="s">
        <v>71</v>
      </c>
    </row>
    <row r="24">
      <c r="A24" s="40"/>
      <c r="B24" s="39"/>
      <c r="F24" s="37">
        <v>0.8333333333333334</v>
      </c>
      <c r="G24" s="38" t="s">
        <v>70</v>
      </c>
    </row>
    <row r="25">
      <c r="A25" s="40"/>
      <c r="B25" s="39"/>
      <c r="F25" s="37">
        <v>0.875</v>
      </c>
      <c r="G25" s="38" t="s">
        <v>69</v>
      </c>
    </row>
    <row r="26">
      <c r="A26" s="40"/>
      <c r="B26" s="39"/>
      <c r="F26" s="37">
        <v>0.9166666666666666</v>
      </c>
      <c r="G26" s="38" t="s">
        <v>69</v>
      </c>
    </row>
    <row r="27">
      <c r="A27" s="39"/>
      <c r="B27" s="39"/>
      <c r="F27" s="37">
        <v>0.9583333333333334</v>
      </c>
      <c r="G27" s="38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32.0"/>
    <col customWidth="1" min="6" max="6" width="7.25"/>
    <col customWidth="1" min="8" max="8" width="14.25"/>
  </cols>
  <sheetData>
    <row r="1">
      <c r="A1" s="1" t="s">
        <v>81</v>
      </c>
      <c r="B1" s="1" t="s">
        <v>82</v>
      </c>
      <c r="C1" s="1" t="s">
        <v>83</v>
      </c>
      <c r="D1" s="43"/>
      <c r="E1" s="43"/>
    </row>
    <row r="2">
      <c r="A2" s="1">
        <v>1.0</v>
      </c>
      <c r="B2" s="1" t="s">
        <v>84</v>
      </c>
      <c r="C2" s="1" t="s">
        <v>85</v>
      </c>
      <c r="D2" s="43"/>
      <c r="E2" s="43"/>
      <c r="F2" s="44"/>
    </row>
    <row r="3">
      <c r="A3" s="1">
        <v>2.0</v>
      </c>
      <c r="B3" s="1" t="s">
        <v>86</v>
      </c>
      <c r="C3" s="1" t="s">
        <v>87</v>
      </c>
      <c r="D3" s="43"/>
      <c r="E3" s="43"/>
      <c r="F3" s="44"/>
    </row>
    <row r="4">
      <c r="A4" s="1">
        <v>3.0</v>
      </c>
      <c r="B4" s="1" t="s">
        <v>86</v>
      </c>
      <c r="C4" s="1" t="s">
        <v>88</v>
      </c>
      <c r="D4" s="43"/>
      <c r="E4" s="43"/>
      <c r="F4" s="44"/>
    </row>
    <row r="5">
      <c r="A5" s="1">
        <v>4.0</v>
      </c>
      <c r="B5" s="1" t="s">
        <v>84</v>
      </c>
      <c r="C5" s="1" t="s">
        <v>89</v>
      </c>
      <c r="D5" s="43"/>
      <c r="E5" s="43"/>
      <c r="F5" s="44"/>
    </row>
    <row r="6">
      <c r="A6" s="1">
        <v>5.0</v>
      </c>
      <c r="B6" s="1" t="s">
        <v>86</v>
      </c>
      <c r="C6" s="1" t="s">
        <v>90</v>
      </c>
      <c r="D6" s="43"/>
      <c r="E6" s="43"/>
      <c r="F6" s="44"/>
    </row>
    <row r="7">
      <c r="A7" s="1">
        <v>6.0</v>
      </c>
      <c r="B7" s="1" t="s">
        <v>86</v>
      </c>
      <c r="C7" s="1" t="s">
        <v>90</v>
      </c>
      <c r="D7" s="43"/>
      <c r="E7" s="43"/>
      <c r="F7" s="44"/>
    </row>
    <row r="8">
      <c r="A8" s="1">
        <v>7.0</v>
      </c>
      <c r="B8" s="1" t="s">
        <v>84</v>
      </c>
      <c r="C8" s="1" t="s">
        <v>91</v>
      </c>
      <c r="D8" s="43"/>
      <c r="E8" s="43"/>
      <c r="F8" s="44"/>
    </row>
    <row r="9">
      <c r="A9" s="1">
        <v>8.0</v>
      </c>
      <c r="B9" s="1" t="s">
        <v>84</v>
      </c>
      <c r="C9" s="1" t="s">
        <v>92</v>
      </c>
      <c r="D9" s="43"/>
      <c r="E9" s="43"/>
    </row>
    <row r="10">
      <c r="A10" s="1">
        <v>9.0</v>
      </c>
      <c r="B10" s="1" t="s">
        <v>86</v>
      </c>
      <c r="C10" s="1" t="s">
        <v>89</v>
      </c>
      <c r="D10" s="43"/>
      <c r="E10" s="43"/>
    </row>
    <row r="11">
      <c r="A11" s="1">
        <v>10.0</v>
      </c>
      <c r="B11" s="1" t="s">
        <v>86</v>
      </c>
      <c r="C11" s="1" t="s">
        <v>92</v>
      </c>
      <c r="D11" s="43"/>
      <c r="E11" s="43"/>
    </row>
    <row r="12">
      <c r="A12" s="1">
        <v>11.0</v>
      </c>
      <c r="B12" s="1" t="s">
        <v>86</v>
      </c>
      <c r="C12" s="1" t="s">
        <v>93</v>
      </c>
      <c r="D12" s="43"/>
      <c r="E12" s="43"/>
    </row>
    <row r="13">
      <c r="A13" s="1">
        <v>12.0</v>
      </c>
      <c r="B13" s="1" t="s">
        <v>86</v>
      </c>
      <c r="C13" s="1" t="s">
        <v>94</v>
      </c>
      <c r="D13" s="43"/>
      <c r="E13" s="43"/>
    </row>
    <row r="14">
      <c r="A14" s="1">
        <v>13.0</v>
      </c>
      <c r="B14" s="1" t="s">
        <v>86</v>
      </c>
      <c r="C14" s="1" t="s">
        <v>95</v>
      </c>
      <c r="D14" s="43"/>
      <c r="E14" s="43"/>
    </row>
    <row r="15">
      <c r="A15" s="1">
        <v>14.0</v>
      </c>
      <c r="B15" s="1" t="s">
        <v>86</v>
      </c>
      <c r="C15" s="1" t="s">
        <v>95</v>
      </c>
      <c r="D15" s="43"/>
      <c r="E15" s="43"/>
    </row>
    <row r="16">
      <c r="A16" s="1">
        <v>15.0</v>
      </c>
      <c r="B16" s="1" t="s">
        <v>84</v>
      </c>
      <c r="C16" s="1" t="s">
        <v>90</v>
      </c>
      <c r="D16" s="43"/>
      <c r="E16" s="43"/>
    </row>
    <row r="17">
      <c r="A17" s="1">
        <v>16.0</v>
      </c>
      <c r="B17" s="1" t="s">
        <v>86</v>
      </c>
      <c r="C17" s="1" t="s">
        <v>95</v>
      </c>
      <c r="D17" s="43"/>
      <c r="E17" s="43"/>
    </row>
    <row r="18">
      <c r="A18" s="1">
        <v>17.0</v>
      </c>
      <c r="B18" s="1" t="s">
        <v>84</v>
      </c>
      <c r="C18" s="1" t="s">
        <v>91</v>
      </c>
      <c r="D18" s="43"/>
      <c r="E18" s="43"/>
    </row>
    <row r="19">
      <c r="A19" s="1">
        <v>18.0</v>
      </c>
      <c r="B19" s="1" t="s">
        <v>84</v>
      </c>
      <c r="C19" s="1" t="s">
        <v>95</v>
      </c>
      <c r="D19" s="43"/>
      <c r="E19" s="43"/>
    </row>
    <row r="20">
      <c r="A20" s="1">
        <v>19.0</v>
      </c>
      <c r="B20" s="1" t="s">
        <v>86</v>
      </c>
      <c r="C20" s="1" t="s">
        <v>88</v>
      </c>
      <c r="D20" s="43"/>
      <c r="E20" s="43"/>
    </row>
    <row r="21">
      <c r="A21" s="1">
        <v>20.0</v>
      </c>
      <c r="B21" s="1" t="s">
        <v>84</v>
      </c>
      <c r="C21" s="1" t="s">
        <v>85</v>
      </c>
      <c r="D21" s="43"/>
      <c r="E21" s="43"/>
    </row>
    <row r="22">
      <c r="A22" s="1">
        <v>21.0</v>
      </c>
      <c r="B22" s="1" t="s">
        <v>84</v>
      </c>
      <c r="C22" s="1" t="s">
        <v>93</v>
      </c>
      <c r="D22" s="43"/>
      <c r="E22" s="43"/>
    </row>
    <row r="23">
      <c r="A23" s="1">
        <v>22.0</v>
      </c>
      <c r="B23" s="1" t="s">
        <v>84</v>
      </c>
      <c r="C23" s="1" t="s">
        <v>85</v>
      </c>
      <c r="D23" s="43"/>
      <c r="E23" s="43"/>
    </row>
    <row r="24">
      <c r="A24" s="43"/>
      <c r="B24" s="43"/>
      <c r="C24" s="43"/>
      <c r="D24" s="43"/>
      <c r="E24" s="43"/>
    </row>
    <row r="27">
      <c r="A27" s="45" t="s">
        <v>96</v>
      </c>
      <c r="B27" s="45" t="s">
        <v>65</v>
      </c>
    </row>
    <row r="28">
      <c r="A28" s="45" t="s">
        <v>85</v>
      </c>
      <c r="B28" s="45">
        <v>13.0</v>
      </c>
    </row>
    <row r="29">
      <c r="A29" s="45" t="s">
        <v>87</v>
      </c>
      <c r="B29" s="45">
        <v>11.0</v>
      </c>
      <c r="C29" s="3" t="s">
        <v>77</v>
      </c>
      <c r="D29" s="3" t="s">
        <v>97</v>
      </c>
    </row>
    <row r="30">
      <c r="A30" s="45" t="s">
        <v>95</v>
      </c>
      <c r="B30" s="45">
        <v>9.0</v>
      </c>
      <c r="C30" s="3" t="s">
        <v>45</v>
      </c>
      <c r="D30" s="4">
        <f>MEDIAN(B28:B33)</f>
        <v>7</v>
      </c>
    </row>
    <row r="31">
      <c r="A31" s="45" t="s">
        <v>98</v>
      </c>
      <c r="B31" s="45">
        <v>5.0</v>
      </c>
    </row>
    <row r="32">
      <c r="A32" s="45" t="s">
        <v>99</v>
      </c>
      <c r="B32" s="45">
        <v>4.0</v>
      </c>
    </row>
    <row r="33">
      <c r="A33" s="45" t="s">
        <v>92</v>
      </c>
      <c r="B33" s="45">
        <v>2.0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